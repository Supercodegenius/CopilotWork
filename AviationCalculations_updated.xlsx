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ustom.xml" ContentType="application/vnd.openxmlformats-officedocument.custom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0" yWindow="60" windowWidth="23040" windowHeight="9720"/>
  </bookViews>
  <sheets>
    <sheet name="Sheet7" sheetId="7" r:id="rId1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E46" i="7" l="1"/>
  <c r="E39" i="7" l="1"/>
  <c r="E38" i="7"/>
  <c r="E37" i="7"/>
  <c r="E36" i="7"/>
  <c r="E35" i="7"/>
  <c r="E34" i="7"/>
  <c r="E33" i="7"/>
  <c r="E32" i="7"/>
  <c r="E19" i="7"/>
  <c r="E16" i="7"/>
  <c r="E20" i="7" l="1"/>
  <c r="E21" i="7" s="1"/>
  <c r="E15" i="7"/>
  <c r="E17" i="7" l="1"/>
  <c r="E18" i="7"/>
  <c r="E24" i="7" s="1"/>
  <c r="E25" i="7" l="1"/>
  <c r="E26" i="7"/>
</calcChain>
</file>

<file path=xl/sharedStrings.xml><?xml version="1.0" encoding="utf-8"?>
<sst xmlns="http://schemas.openxmlformats.org/spreadsheetml/2006/main" count="159" uniqueCount="117">
  <si>
    <t>OLE</t>
  </si>
  <si>
    <t>Program Losses</t>
  </si>
  <si>
    <t>Interlock</t>
  </si>
  <si>
    <t>Loss1</t>
  </si>
  <si>
    <t>Market Loss</t>
  </si>
  <si>
    <t>Hull Loss</t>
  </si>
  <si>
    <t>Liab Loss</t>
  </si>
  <si>
    <t>XLLoss</t>
  </si>
  <si>
    <t>XLInwardsRIP</t>
  </si>
  <si>
    <t>Source</t>
  </si>
  <si>
    <t>Item</t>
  </si>
  <si>
    <t>Description</t>
  </si>
  <si>
    <t>Calc</t>
  </si>
  <si>
    <t>Param</t>
  </si>
  <si>
    <t>LossH</t>
  </si>
  <si>
    <t>LossL</t>
  </si>
  <si>
    <t>LossD</t>
  </si>
  <si>
    <t>Loss Date</t>
  </si>
  <si>
    <t>set to 99999999999999 for max exposure</t>
  </si>
  <si>
    <t>All figures USD</t>
  </si>
  <si>
    <t>Run these through aviLoss2 view, then step through</t>
  </si>
  <si>
    <t>DB</t>
  </si>
  <si>
    <t>LL</t>
  </si>
  <si>
    <t>Liab Limit</t>
  </si>
  <si>
    <t>HL</t>
  </si>
  <si>
    <t>Hull Limit</t>
  </si>
  <si>
    <t>LXS</t>
  </si>
  <si>
    <t>Liab Excess</t>
  </si>
  <si>
    <t>HXS</t>
  </si>
  <si>
    <t>Hull Excess</t>
  </si>
  <si>
    <t>LS</t>
  </si>
  <si>
    <t>Liab Share</t>
  </si>
  <si>
    <t>HS</t>
  </si>
  <si>
    <t>Hull Share</t>
  </si>
  <si>
    <t>CH</t>
  </si>
  <si>
    <t>Cedant Hull Loss</t>
  </si>
  <si>
    <t>max( 0, min( LossH - HXS ) , HL ) x HS</t>
  </si>
  <si>
    <t>CL</t>
  </si>
  <si>
    <t>Cedant Liab Loss</t>
  </si>
  <si>
    <t>max( 0, min( LossL -LXS ) , LL ) x LS</t>
  </si>
  <si>
    <t>CLL</t>
  </si>
  <si>
    <t>CL + CH within single policy</t>
  </si>
  <si>
    <t>PL</t>
  </si>
  <si>
    <t>CL + CH for all polices</t>
  </si>
  <si>
    <t>ML</t>
  </si>
  <si>
    <t>LossH + LossL</t>
  </si>
  <si>
    <t>Orignal Loss Excess</t>
  </si>
  <si>
    <t>FD</t>
  </si>
  <si>
    <t>Floating Deductible</t>
  </si>
  <si>
    <t>OIPC</t>
  </si>
  <si>
    <t>Ole Interlock PC</t>
  </si>
  <si>
    <t>CL/PL</t>
  </si>
  <si>
    <t>AOLE</t>
  </si>
  <si>
    <t>Actual OLE</t>
  </si>
  <si>
    <t>TL</t>
  </si>
  <si>
    <t>Treaty Limit</t>
  </si>
  <si>
    <t>TE</t>
  </si>
  <si>
    <t>Treaty Excess</t>
  </si>
  <si>
    <t>TS</t>
  </si>
  <si>
    <t>Treaty Share</t>
  </si>
  <si>
    <t>LI</t>
  </si>
  <si>
    <t>Limit Interlock</t>
  </si>
  <si>
    <t>XI</t>
  </si>
  <si>
    <t>Excess Interlock</t>
  </si>
  <si>
    <t>OLEI</t>
  </si>
  <si>
    <t>Ole Interlock</t>
  </si>
  <si>
    <t>Min( FD, AOLE) x IL</t>
  </si>
  <si>
    <t>Loss to XL 100%</t>
  </si>
  <si>
    <t>Capped Market Loss</t>
  </si>
  <si>
    <t>CML</t>
  </si>
  <si>
    <t>min(HL,LossH)+min(LL,LossL)</t>
  </si>
  <si>
    <t>Air Market Loss</t>
  </si>
  <si>
    <t>AML</t>
  </si>
  <si>
    <t>min(AML,ML)</t>
  </si>
  <si>
    <t>OLE x (PL/CML)</t>
  </si>
  <si>
    <t>Cedant Line Losses</t>
  </si>
  <si>
    <t>CLL/PL</t>
  </si>
  <si>
    <t>TL x IL</t>
  </si>
  <si>
    <t>TE x IL</t>
  </si>
  <si>
    <t>IL</t>
  </si>
  <si>
    <t>Loss0</t>
  </si>
  <si>
    <t>CL-XI-OLEI</t>
  </si>
  <si>
    <t>Losss1</t>
  </si>
  <si>
    <t>min(LI,Loss0)</t>
  </si>
  <si>
    <t>max(0,Loss1)*TS</t>
  </si>
  <si>
    <t>Reinsurance premium</t>
  </si>
  <si>
    <t>CR</t>
  </si>
  <si>
    <t>Treaty Cost Rs</t>
  </si>
  <si>
    <t>ROL</t>
  </si>
  <si>
    <t>Treaty ROL</t>
  </si>
  <si>
    <t>Xlloss*ROL/100*CR</t>
  </si>
  <si>
    <t>Net XL Loss</t>
  </si>
  <si>
    <t>Net Loss</t>
  </si>
  <si>
    <t>Xlloss-XLInwardsRIP</t>
  </si>
  <si>
    <t>Outwad Excess amount</t>
  </si>
  <si>
    <t>If(Outwads.LayerType ='FAC')</t>
  </si>
  <si>
    <t>OEA</t>
  </si>
  <si>
    <t>FACRI</t>
  </si>
  <si>
    <t>ProgramGrossLoss</t>
  </si>
  <si>
    <t>PGL</t>
  </si>
  <si>
    <t>Sum of Xlloss for each program</t>
  </si>
  <si>
    <t>FACRIP</t>
  </si>
  <si>
    <t>FACRI * eachOutwads.RoL * eachOutwads.Rspct</t>
  </si>
  <si>
    <t>Total FACRI</t>
  </si>
  <si>
    <t>Total FACRIP</t>
  </si>
  <si>
    <t>Sum(FACRI)</t>
  </si>
  <si>
    <t>Sum(FACRIP)</t>
  </si>
  <si>
    <t>Max(PGL - OEA, 0)</t>
  </si>
  <si>
    <t>If(Outwads.LayerType ='QS')</t>
  </si>
  <si>
    <t>Only if (eachOutwads.AttachDt &lt;= Attach &amp;&amp; eachOutwads.ExpireDt &gt; Attach)</t>
  </si>
  <si>
    <t>QS</t>
  </si>
  <si>
    <t>Quota Share</t>
  </si>
  <si>
    <t>Total QS</t>
  </si>
  <si>
    <t>Total Quota Share</t>
  </si>
  <si>
    <t>Sum(QS)</t>
  </si>
  <si>
    <t>(PGL - FACRI + FACRIP) * eachOutwads.SignedPct</t>
  </si>
  <si>
    <t>If Outwad Reinsruance exists for the program below calculation happens . For this program this calculation is not applicable due to absence of outwad reinsurance entry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</si>
</sst>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3" fontId="0" fillId="0" borderId="0" xfId="0" applyNumberFormat="1"/>
    <xf numFmtId="0" fontId="0" fillId="2" borderId="1" xfId="0" applyFont="1" applyFill="1" applyBorder="1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/>
    <xf numFmtId="0" fontId="2" fillId="0" borderId="0" xfId="0" applyFont="1"/>
    <xf numFmtId="0" fontId="3" fillId="0" borderId="0" xfId="0" applyFont="1" applyAlignment="1">
      <alignment horizontal="center" vertical="center"/>
    </xf>
    <xf numFmtId="3" fontId="0" fillId="0" borderId="0" xfId="0" applyNumberFormat="1" applyAlignment="1">
      <alignment horizontal="center"/>
    </xf>
    <xf numFmtId="164" fontId="0" fillId="0" borderId="0" xfId="0" applyNumberFormat="1"/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3"/>
  <sheetViews>
    <sheetView tabSelected="1" topLeftCell="A22" workbookViewId="0">
      <selection activeCell="A42" sqref="A42:D42"/>
    </sheetView>
  </sheetViews>
  <sheetFormatPr defaultRowHeight="15" x14ac:dyDescent="0.25"/>
  <cols>
    <col min="2" max="2" width="17.85546875" bestFit="1" customWidth="1"/>
    <col min="3" max="3" width="20.140625" bestFit="1" customWidth="1"/>
    <col min="4" max="4" width="44" bestFit="1" customWidth="1"/>
    <col min="5" max="5" width="36.140625" bestFit="1" customWidth="1"/>
  </cols>
  <sheetData>
    <row r="1" spans="1:5" ht="14.45" x14ac:dyDescent="0.3">
      <c r="A1" s="1" t="s">
        <v>9</v>
      </c>
      <c r="B1" s="1" t="s">
        <v>10</v>
      </c>
      <c r="C1" s="1" t="s">
        <v>11</v>
      </c>
      <c r="D1" s="1" t="s">
        <v>12</v>
      </c>
      <c r="E1" s="6" t="s">
        <v>19</v>
      </c>
    </row>
    <row r="2" spans="1:5" ht="14.45" x14ac:dyDescent="0.3">
      <c r="A2" s="4" t="s">
        <v>13</v>
      </c>
      <c r="B2" s="4" t="s">
        <v>14</v>
      </c>
      <c r="C2" s="4" t="s">
        <v>5</v>
      </c>
      <c r="D2" s="9">
        <v>99999999999999</v>
      </c>
      <c r="E2" s="5" t="s">
        <v>18</v>
      </c>
    </row>
    <row r="3" spans="1:5" ht="14.45" x14ac:dyDescent="0.3">
      <c r="A3" s="4" t="s">
        <v>13</v>
      </c>
      <c r="B3" s="4" t="s">
        <v>15</v>
      </c>
      <c r="C3" s="4" t="s">
        <v>6</v>
      </c>
      <c r="D3" s="9">
        <v>99999999999999</v>
      </c>
      <c r="E3" s="5" t="s">
        <v>18</v>
      </c>
    </row>
    <row r="4" spans="1:5" ht="14.45" x14ac:dyDescent="0.3">
      <c r="A4" s="4" t="s">
        <v>13</v>
      </c>
      <c r="B4" s="4" t="s">
        <v>16</v>
      </c>
      <c r="C4" s="4" t="s">
        <v>17</v>
      </c>
    </row>
    <row r="7" spans="1:5" ht="14.45" x14ac:dyDescent="0.3">
      <c r="A7" s="4" t="s">
        <v>20</v>
      </c>
      <c r="B7" s="7"/>
    </row>
    <row r="9" spans="1:5" ht="14.45" x14ac:dyDescent="0.3">
      <c r="A9" s="4" t="s">
        <v>21</v>
      </c>
      <c r="B9" s="4" t="s">
        <v>22</v>
      </c>
      <c r="C9" s="4" t="s">
        <v>23</v>
      </c>
      <c r="D9" s="7"/>
      <c r="E9">
        <v>2250000000</v>
      </c>
    </row>
    <row r="10" spans="1:5" ht="14.45" x14ac:dyDescent="0.3">
      <c r="A10" s="4" t="s">
        <v>21</v>
      </c>
      <c r="B10" s="4" t="s">
        <v>24</v>
      </c>
      <c r="C10" s="4" t="s">
        <v>25</v>
      </c>
      <c r="D10" s="7"/>
      <c r="E10" s="3">
        <v>375000000</v>
      </c>
    </row>
    <row r="11" spans="1:5" ht="14.45" x14ac:dyDescent="0.3">
      <c r="A11" s="4" t="s">
        <v>21</v>
      </c>
      <c r="B11" s="4" t="s">
        <v>26</v>
      </c>
      <c r="C11" s="4" t="s">
        <v>27</v>
      </c>
      <c r="D11" s="7"/>
      <c r="E11">
        <v>0</v>
      </c>
    </row>
    <row r="12" spans="1:5" ht="14.45" x14ac:dyDescent="0.3">
      <c r="A12" s="4" t="s">
        <v>21</v>
      </c>
      <c r="B12" s="4" t="s">
        <v>28</v>
      </c>
      <c r="C12" s="4" t="s">
        <v>29</v>
      </c>
      <c r="D12" s="7"/>
      <c r="E12">
        <v>0</v>
      </c>
    </row>
    <row r="13" spans="1:5" ht="14.45" x14ac:dyDescent="0.3">
      <c r="A13" s="4" t="s">
        <v>21</v>
      </c>
      <c r="B13" s="4" t="s">
        <v>30</v>
      </c>
      <c r="C13" s="4" t="s">
        <v>31</v>
      </c>
      <c r="D13" s="7"/>
      <c r="E13">
        <v>0.05</v>
      </c>
    </row>
    <row r="14" spans="1:5" ht="14.45" x14ac:dyDescent="0.3">
      <c r="A14" s="4" t="s">
        <v>21</v>
      </c>
      <c r="B14" s="4" t="s">
        <v>32</v>
      </c>
      <c r="C14" s="4" t="s">
        <v>33</v>
      </c>
      <c r="D14" s="7"/>
      <c r="E14">
        <v>0.05</v>
      </c>
    </row>
    <row r="15" spans="1:5" ht="14.45" x14ac:dyDescent="0.3">
      <c r="A15" s="4" t="s">
        <v>12</v>
      </c>
      <c r="B15" s="4" t="s">
        <v>34</v>
      </c>
      <c r="C15" s="4" t="s">
        <v>35</v>
      </c>
      <c r="D15" s="8" t="s">
        <v>36</v>
      </c>
      <c r="E15">
        <f>MAX(0,MIN((D2-E12),E10)*E14)</f>
        <v>18750000</v>
      </c>
    </row>
    <row r="16" spans="1:5" ht="14.45" x14ac:dyDescent="0.3">
      <c r="A16" s="4" t="s">
        <v>12</v>
      </c>
      <c r="B16" s="4" t="s">
        <v>37</v>
      </c>
      <c r="C16" s="4" t="s">
        <v>38</v>
      </c>
      <c r="D16" s="8" t="s">
        <v>39</v>
      </c>
      <c r="E16">
        <f>MAX(0,MIN((D3-E11),E9)*E13)</f>
        <v>112500000</v>
      </c>
    </row>
    <row r="17" spans="1:5" ht="14.45" x14ac:dyDescent="0.3">
      <c r="A17" s="4" t="s">
        <v>12</v>
      </c>
      <c r="B17" s="4" t="s">
        <v>40</v>
      </c>
      <c r="C17" s="4" t="s">
        <v>75</v>
      </c>
      <c r="D17" s="8" t="s">
        <v>41</v>
      </c>
      <c r="E17">
        <f>E15+E16</f>
        <v>131250000</v>
      </c>
    </row>
    <row r="18" spans="1:5" ht="14.45" x14ac:dyDescent="0.3">
      <c r="A18" s="4" t="s">
        <v>12</v>
      </c>
      <c r="B18" s="4" t="s">
        <v>42</v>
      </c>
      <c r="C18" s="4" t="s">
        <v>1</v>
      </c>
      <c r="D18" s="8" t="s">
        <v>43</v>
      </c>
      <c r="E18">
        <f>E16+E15</f>
        <v>131250000</v>
      </c>
    </row>
    <row r="19" spans="1:5" ht="14.45" x14ac:dyDescent="0.3">
      <c r="A19" s="4" t="s">
        <v>12</v>
      </c>
      <c r="B19" s="4" t="s">
        <v>72</v>
      </c>
      <c r="C19" s="4" t="s">
        <v>71</v>
      </c>
      <c r="D19" s="8" t="s">
        <v>70</v>
      </c>
      <c r="E19" s="2">
        <f>MIN(E10,D2)+MIN(E9,D3)</f>
        <v>2625000000</v>
      </c>
    </row>
    <row r="20" spans="1:5" ht="14.45" x14ac:dyDescent="0.3">
      <c r="A20" s="4" t="s">
        <v>12</v>
      </c>
      <c r="B20" s="4" t="s">
        <v>44</v>
      </c>
      <c r="C20" s="4" t="s">
        <v>4</v>
      </c>
      <c r="D20" s="8" t="s">
        <v>45</v>
      </c>
      <c r="E20" s="2">
        <f>D2+D3</f>
        <v>199999999999998</v>
      </c>
    </row>
    <row r="21" spans="1:5" ht="14.45" x14ac:dyDescent="0.3">
      <c r="A21" s="4" t="s">
        <v>12</v>
      </c>
      <c r="B21" s="4" t="s">
        <v>69</v>
      </c>
      <c r="C21" s="4" t="s">
        <v>68</v>
      </c>
      <c r="D21" s="8" t="s">
        <v>73</v>
      </c>
      <c r="E21" s="2">
        <f>MIN(E19,E20)</f>
        <v>2625000000</v>
      </c>
    </row>
    <row r="22" spans="1:5" ht="14.45" x14ac:dyDescent="0.3">
      <c r="A22" s="4" t="s">
        <v>21</v>
      </c>
      <c r="B22" s="4" t="s">
        <v>0</v>
      </c>
      <c r="C22" s="4" t="s">
        <v>46</v>
      </c>
      <c r="D22" s="7"/>
      <c r="E22">
        <v>0</v>
      </c>
    </row>
    <row r="23" spans="1:5" ht="14.45" x14ac:dyDescent="0.3">
      <c r="A23" s="4" t="s">
        <v>21</v>
      </c>
      <c r="B23" s="4" t="s">
        <v>47</v>
      </c>
      <c r="C23" s="4" t="s">
        <v>48</v>
      </c>
      <c r="D23" s="7"/>
      <c r="E23">
        <v>0</v>
      </c>
    </row>
    <row r="24" spans="1:5" ht="14.45" x14ac:dyDescent="0.3">
      <c r="A24" s="4" t="s">
        <v>12</v>
      </c>
      <c r="B24" s="4" t="s">
        <v>52</v>
      </c>
      <c r="C24" s="4" t="s">
        <v>53</v>
      </c>
      <c r="D24" s="8" t="s">
        <v>74</v>
      </c>
      <c r="E24">
        <f>E22*E18/E21</f>
        <v>0</v>
      </c>
    </row>
    <row r="25" spans="1:5" ht="14.45" x14ac:dyDescent="0.3">
      <c r="A25" s="4" t="s">
        <v>12</v>
      </c>
      <c r="B25" s="4" t="s">
        <v>79</v>
      </c>
      <c r="C25" s="4" t="s">
        <v>2</v>
      </c>
      <c r="D25" s="8" t="s">
        <v>76</v>
      </c>
      <c r="E25" s="10">
        <f>E17/E18</f>
        <v>1</v>
      </c>
    </row>
    <row r="26" spans="1:5" ht="14.45" x14ac:dyDescent="0.3">
      <c r="A26" s="4" t="s">
        <v>12</v>
      </c>
      <c r="B26" s="4" t="s">
        <v>49</v>
      </c>
      <c r="C26" s="4" t="s">
        <v>50</v>
      </c>
      <c r="D26" s="8" t="s">
        <v>51</v>
      </c>
      <c r="E26">
        <f>E16/E18</f>
        <v>0.8571428571428571</v>
      </c>
    </row>
    <row r="27" spans="1:5" ht="14.45" x14ac:dyDescent="0.3">
      <c r="A27" s="4" t="s">
        <v>21</v>
      </c>
      <c r="B27" s="4" t="s">
        <v>54</v>
      </c>
      <c r="C27" s="4" t="s">
        <v>55</v>
      </c>
      <c r="D27" s="7"/>
      <c r="E27">
        <v>285000000</v>
      </c>
    </row>
    <row r="28" spans="1:5" ht="14.45" x14ac:dyDescent="0.3">
      <c r="A28" s="4" t="s">
        <v>21</v>
      </c>
      <c r="B28" s="4" t="s">
        <v>56</v>
      </c>
      <c r="C28" s="4" t="s">
        <v>57</v>
      </c>
      <c r="D28" s="7"/>
      <c r="E28">
        <v>0</v>
      </c>
    </row>
    <row r="29" spans="1:5" ht="14.45" x14ac:dyDescent="0.3">
      <c r="A29" s="4" t="s">
        <v>21</v>
      </c>
      <c r="B29" s="4" t="s">
        <v>58</v>
      </c>
      <c r="C29" s="4" t="s">
        <v>59</v>
      </c>
      <c r="D29" s="7"/>
      <c r="E29">
        <v>3.5000000000000003E-2</v>
      </c>
    </row>
    <row r="30" spans="1:5" x14ac:dyDescent="0.25">
      <c r="A30" s="4" t="s">
        <v>21</v>
      </c>
      <c r="B30" s="4" t="s">
        <v>88</v>
      </c>
      <c r="C30" s="4" t="s">
        <v>89</v>
      </c>
      <c r="D30" s="7"/>
      <c r="E30">
        <v>33.333333000000003</v>
      </c>
    </row>
    <row r="31" spans="1:5" x14ac:dyDescent="0.25">
      <c r="A31" s="4" t="s">
        <v>21</v>
      </c>
      <c r="B31" s="4" t="s">
        <v>86</v>
      </c>
      <c r="C31" s="4" t="s">
        <v>87</v>
      </c>
      <c r="D31" s="7"/>
      <c r="E31">
        <v>0</v>
      </c>
    </row>
    <row r="32" spans="1:5" x14ac:dyDescent="0.25">
      <c r="A32" s="4" t="s">
        <v>12</v>
      </c>
      <c r="B32" s="4" t="s">
        <v>60</v>
      </c>
      <c r="C32" s="4" t="s">
        <v>61</v>
      </c>
      <c r="D32" s="8" t="s">
        <v>77</v>
      </c>
      <c r="E32">
        <f>E27*E25</f>
        <v>285000000</v>
      </c>
    </row>
    <row r="33" spans="1:5" x14ac:dyDescent="0.25">
      <c r="A33" s="4" t="s">
        <v>12</v>
      </c>
      <c r="B33" s="4" t="s">
        <v>62</v>
      </c>
      <c r="C33" s="4" t="s">
        <v>63</v>
      </c>
      <c r="D33" s="8" t="s">
        <v>78</v>
      </c>
      <c r="E33">
        <f>E28*E25</f>
        <v>0</v>
      </c>
    </row>
    <row r="34" spans="1:5" x14ac:dyDescent="0.25">
      <c r="A34" s="4" t="s">
        <v>12</v>
      </c>
      <c r="B34" s="4" t="s">
        <v>64</v>
      </c>
      <c r="C34" s="4" t="s">
        <v>65</v>
      </c>
      <c r="D34" s="8" t="s">
        <v>66</v>
      </c>
      <c r="E34">
        <f>MIN(E23,E24)*E25</f>
        <v>0</v>
      </c>
    </row>
    <row r="35" spans="1:5" x14ac:dyDescent="0.25">
      <c r="A35" s="4" t="s">
        <v>12</v>
      </c>
      <c r="B35" s="4" t="s">
        <v>80</v>
      </c>
      <c r="C35" s="4" t="s">
        <v>80</v>
      </c>
      <c r="D35" s="8" t="s">
        <v>81</v>
      </c>
      <c r="E35">
        <f>E17-E33-E34</f>
        <v>131250000</v>
      </c>
    </row>
    <row r="36" spans="1:5" x14ac:dyDescent="0.25">
      <c r="A36" s="4" t="s">
        <v>12</v>
      </c>
      <c r="B36" s="4" t="s">
        <v>82</v>
      </c>
      <c r="C36" s="4" t="s">
        <v>3</v>
      </c>
      <c r="D36" s="8" t="s">
        <v>83</v>
      </c>
      <c r="E36">
        <f>MIN(E32,E35)</f>
        <v>131250000</v>
      </c>
    </row>
    <row r="37" spans="1:5" x14ac:dyDescent="0.25">
      <c r="A37" s="4" t="s">
        <v>12</v>
      </c>
      <c r="B37" s="4" t="s">
        <v>7</v>
      </c>
      <c r="C37" s="4" t="s">
        <v>67</v>
      </c>
      <c r="D37" s="8" t="s">
        <v>84</v>
      </c>
      <c r="E37">
        <f>MAX(0,E36)*E29</f>
        <v>4593750</v>
      </c>
    </row>
    <row r="38" spans="1:5" x14ac:dyDescent="0.25">
      <c r="A38" s="4" t="s">
        <v>12</v>
      </c>
      <c r="B38" s="4" t="s">
        <v>8</v>
      </c>
      <c r="C38" s="4" t="s">
        <v>85</v>
      </c>
      <c r="D38" s="8" t="s">
        <v>90</v>
      </c>
      <c r="E38">
        <f>E37*E30/100*E31</f>
        <v>0</v>
      </c>
    </row>
    <row r="39" spans="1:5" x14ac:dyDescent="0.25">
      <c r="A39" s="4" t="s">
        <v>12</v>
      </c>
      <c r="B39" s="4" t="s">
        <v>91</v>
      </c>
      <c r="C39" s="4" t="s">
        <v>92</v>
      </c>
      <c r="D39" s="8" t="s">
        <v>93</v>
      </c>
      <c r="E39">
        <f>E37-E38</f>
        <v>4593750</v>
      </c>
    </row>
    <row r="40" spans="1:5" x14ac:dyDescent="0.25">
      <c r="A40" s="4" t="s">
        <v>12</v>
      </c>
      <c r="B40" s="4" t="s">
        <v>99</v>
      </c>
      <c r="C40" s="4" t="s">
        <v>98</v>
      </c>
      <c r="D40" s="8" t="s">
        <v>100</v>
      </c>
      <c r="E40">
        <v>175000</v>
      </c>
    </row>
    <row r="41" spans="1:5" x14ac:dyDescent="0.25">
      <c r="A41" s="4"/>
      <c r="B41" s="4"/>
      <c r="C41" s="4"/>
      <c r="D41" s="8"/>
    </row>
    <row r="42" spans="1:5" ht="31.5" customHeight="1" x14ac:dyDescent="0.25">
      <c r="A42" s="11" t="s">
        <v>116</v>
      </c>
      <c r="B42" s="11"/>
      <c r="C42" s="11"/>
      <c r="D42" s="11"/>
    </row>
    <row r="43" spans="1:5" x14ac:dyDescent="0.25">
      <c r="A43" s="4" t="s">
        <v>21</v>
      </c>
      <c r="B43" s="4" t="s">
        <v>96</v>
      </c>
      <c r="C43" s="4" t="s">
        <v>94</v>
      </c>
      <c r="E43">
        <v>0</v>
      </c>
    </row>
    <row r="44" spans="1:5" x14ac:dyDescent="0.25">
      <c r="A44" s="4" t="s">
        <v>95</v>
      </c>
    </row>
    <row r="45" spans="1:5" x14ac:dyDescent="0.25">
      <c r="A45" s="4" t="s">
        <v>12</v>
      </c>
      <c r="B45" t="s">
        <v>97</v>
      </c>
      <c r="D45" t="s">
        <v>107</v>
      </c>
      <c r="E45">
        <v>0</v>
      </c>
    </row>
    <row r="46" spans="1:5" x14ac:dyDescent="0.25">
      <c r="A46" s="4" t="s">
        <v>12</v>
      </c>
      <c r="B46" t="s">
        <v>101</v>
      </c>
      <c r="D46" t="s">
        <v>102</v>
      </c>
      <c r="E46">
        <f>E45*0*0</f>
        <v>0</v>
      </c>
    </row>
    <row r="47" spans="1:5" x14ac:dyDescent="0.25">
      <c r="A47" s="4" t="s">
        <v>12</v>
      </c>
      <c r="B47" t="s">
        <v>103</v>
      </c>
      <c r="D47" t="s">
        <v>105</v>
      </c>
      <c r="E47">
        <v>0</v>
      </c>
    </row>
    <row r="48" spans="1:5" x14ac:dyDescent="0.25">
      <c r="A48" s="4" t="s">
        <v>12</v>
      </c>
      <c r="B48" t="s">
        <v>104</v>
      </c>
      <c r="D48" t="s">
        <v>106</v>
      </c>
      <c r="E48">
        <v>0</v>
      </c>
    </row>
    <row r="50" spans="1:5" x14ac:dyDescent="0.25">
      <c r="A50" s="4" t="s">
        <v>108</v>
      </c>
    </row>
    <row r="51" spans="1:5" x14ac:dyDescent="0.25">
      <c r="A51" s="4" t="s">
        <v>109</v>
      </c>
    </row>
    <row r="52" spans="1:5" x14ac:dyDescent="0.25">
      <c r="A52" s="4" t="s">
        <v>12</v>
      </c>
      <c r="B52" t="s">
        <v>110</v>
      </c>
      <c r="C52" t="s">
        <v>111</v>
      </c>
      <c r="D52" t="s">
        <v>115</v>
      </c>
      <c r="E52">
        <v>0</v>
      </c>
    </row>
    <row r="53" spans="1:5" x14ac:dyDescent="0.25">
      <c r="A53" s="4" t="s">
        <v>12</v>
      </c>
      <c r="B53" t="s">
        <v>112</v>
      </c>
      <c r="C53" t="s">
        <v>113</v>
      </c>
      <c r="D53" t="s">
        <v>114</v>
      </c>
      <c r="E53">
        <v>0</v>
      </c>
    </row>
  </sheetData>
  <mergeCells count="1">
    <mergeCell ref="A42:D42"/>
  </mergeCells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fadf0749-435c-47bb-bc94-a4b9e551edbc}" enabled="1" method="Standard" siteId="{53b7cac7-14be-46d4-be43-f2ad9244d90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Sheet7</vt:lpstr>
    </vt:vector>
  </TitlesOfParts>
  <Company>AXA XL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Pradeep Kumar Digadari</dc:creator>
  <cp:lastModifiedBy>Charanya Jeyaprakash</cp:lastModifiedBy>
  <dcterms:created xsi:type="dcterms:W3CDTF">2019-08-28T14:42:13Z</dcterms:created>
  <dcterms:modified xsi:type="dcterms:W3CDTF">2019-11-06T09:39:25Z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adf0749-435c-47bb-bc94-a4b9e551edbc_Enabled">
    <vt:lpwstr>True</vt:lpwstr>
  </property>
  <property fmtid="{D5CDD505-2E9C-101B-9397-08002B2CF9AE}" pid="3" name="MSIP_Label_fadf0749-435c-47bb-bc94-a4b9e551edbc_SiteId">
    <vt:lpwstr>53b7cac7-14be-46d4-be43-f2ad9244d901</vt:lpwstr>
  </property>
  <property fmtid="{D5CDD505-2E9C-101B-9397-08002B2CF9AE}" pid="4" name="MSIP_Label_fadf0749-435c-47bb-bc94-a4b9e551edbc_Owner">
    <vt:lpwstr>pradeepkumar.digadari@contractor.xlgroup.com</vt:lpwstr>
  </property>
  <property fmtid="{D5CDD505-2E9C-101B-9397-08002B2CF9AE}" pid="5" name="MSIP_Label_fadf0749-435c-47bb-bc94-a4b9e551edbc_SetDate">
    <vt:lpwstr>2019-08-29T09:53:21.4299223Z</vt:lpwstr>
  </property>
  <property fmtid="{D5CDD505-2E9C-101B-9397-08002B2CF9AE}" pid="6" name="MSIP_Label_fadf0749-435c-47bb-bc94-a4b9e551edbc_Name">
    <vt:lpwstr>Unsecured Content</vt:lpwstr>
  </property>
  <property fmtid="{D5CDD505-2E9C-101B-9397-08002B2CF9AE}" pid="7" name="MSIP_Label_fadf0749-435c-47bb-bc94-a4b9e551edbc_Application">
    <vt:lpwstr>Microsoft Azure Information Protection</vt:lpwstr>
  </property>
  <property fmtid="{D5CDD505-2E9C-101B-9397-08002B2CF9AE}" pid="8" name="MSIP_Label_fadf0749-435c-47bb-bc94-a4b9e551edbc_Extended_MSFT_Method">
    <vt:lpwstr>Automatic</vt:lpwstr>
  </property>
  <property fmtid="{D5CDD505-2E9C-101B-9397-08002B2CF9AE}" pid="9" name="Sensitivity">
    <vt:lpwstr>Unsecured Content</vt:lpwstr>
  </property>
</Properties>
</file>